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keting01\Documents\Estudos\dashboard_vendas_xbox_excel\Dashboard\"/>
    </mc:Choice>
  </mc:AlternateContent>
  <xr:revisionPtr revIDLastSave="0" documentId="13_ncr:1_{B06D66CD-3B50-4F0C-9FFF-E7A8482C708D}" xr6:coauthVersionLast="47" xr6:coauthVersionMax="47" xr10:uidLastSave="{00000000-0000-0000-0000-000000000000}"/>
  <bookViews>
    <workbookView xWindow="-108" yWindow="-108" windowWidth="23256" windowHeight="12456" tabRatio="643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<sst xmlns="http://schemas.openxmlformats.org/spreadsheetml/2006/main" count="2024" uniqueCount="326">
  <si>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</si>
  <si>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</si>
  <si>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</si>
  <si>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</si>
  <si>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</si>
  <si>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</si>
  <si>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</si>
  <si>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</si>
  <si>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</si>
  <si>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</si>
  <si>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</si>
  <si>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</si>
  <si>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</si>
  <si>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</si>
  <si>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</si>
  <si>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</si>
  <si>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</si>
  <si>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</si>
  <si>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</si>
  <si>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</si>
  <si>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</si>
  <si>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</si>
  <si>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</si>
  <si>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</si>
  <si>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</si>
  <si>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</si>
  <si>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</si>
  <si>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</si>
  <si>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</si>
  <si>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</si>
  <si>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</si>
  <si>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</si>
  <si>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</si>
  <si>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</si>
  <si>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</si>
  <si>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</si>
  <si>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</si>
  <si>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</si>
  <si>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</si>
  <si>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</si>
  <si>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</si>
  <si>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</si>
  <si>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</si>
  <si>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</si>
  <si>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</si>
  <si>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</si>
  <si>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</si>
  <si>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</si>
  <si>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</si>
  <si>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</si>
  <si>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</si>
  <si>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</si>
  <si>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</si>
  <si>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</si>
  <si>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</si>
  <si>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</si>
  <si>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</si>
  <si>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</si>
  <si>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</si>
  <si>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</si>
  <si>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</si>
  <si>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</si>
  <si>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</si>
  <si>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</si>
  <si>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</si>
  <si>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</si>
  <si>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</si>
  <si>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</si>
  <si>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</si>
  <si>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</si>
  <si>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</si>
  <si>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</si>
  <si>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</si>
  <si>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</si>
  <si>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</si>
  <si>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</si>
  <si>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</si>
  <si>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</si>
  <si>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</si>
  <si>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</si>
  <si>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</si>
  <si>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</si>
  <si>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</si>
  <si>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</si>
  <si>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</si>
  <si>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</si>
  <si>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</si>
  <si>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</si>
  <si>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</si>
  <si>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</si>
  <si>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</si>
  <si>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</si>
  <si>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</si>
  <si>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</si>
  <si>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</si>
  <si>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</si>
  <si>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</si>
  <si>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</si>
  <si>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</si>
  <si>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</si>
  <si>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</si>
  <si>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</si>
  <si>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</si>
  <si>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</si>
  <si>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</si>
  <si>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</si>
  <si>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</si>
  <si>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</si>
  <si>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</si>
  <si>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</si>
  <si>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</si>
  <si>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</si>
  <si>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</si>
  <si>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</si>
  <si>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</si>
  <si>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</si>
  <si>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</si>
  <si>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</si>
  <si>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</si>
  <si>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</si>
  <si>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</si>
  <si>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</si>
  <si>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</si>
  <si>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</si>
  <si>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</si>
  <si>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</si>
  <si>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</si>
  <si>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</si>
  <si>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</si>
  <si>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</si>
  <si>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</si>
  <si>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</si>
  <si>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</si>
  <si>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</si>
  <si>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</si>
  <si>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</si>
  <si>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</si>
  <si>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</si>
  <si>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</si>
  <si>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</si>
  <si>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</si>
  <si>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</si>
  <si>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</si>
  <si>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</si>
  <si>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</si>
  <si>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</si>
  <si>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</si>
  <si>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</si>
  <si>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</si>
  <si>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</si>
  <si>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</si>
  <si>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</si>
  <si>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</si>
  <si>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</si>
  <si>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</si>
  <si>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</si>
  <si>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</si>
  <si>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</si>
  <si>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</si>
  <si>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</si>
  <si>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</si>
  <si>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</si>
  <si>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</si>
  <si>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</si>
  <si>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</si>
  <si>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</si>
  <si>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</si>
  <si>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</si>
  <si>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</si>
  <si>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</si>
  <si>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</si>
  <si>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</si>
  <si>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</si>
  <si>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</si>
  <si>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</si>
  <si>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</si>
  <si>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</si>
  <si>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</si>
  <si>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</si>
  <si>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</si>
  <si>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</si>
  <si>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</si>
  <si>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</si>
  <si>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</si>
  <si>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</si>
  <si>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</si>
  <si>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</si>
  <si>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</si>
  <si>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</si>
  <si>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</si>
  <si>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</si>
  <si>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</si>
  <si>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</si>
  <si>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</si>
  <si>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</si>
  <si>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</si>
  <si>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</si>
  <si>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</si>
  <si>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</si>
  <si>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</si>
  <si>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</si>
  <si>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</si>
  <si>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</si>
  <si>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</si>
  <si>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</si>
  <si>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</si>
  <si>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</si>
  <si>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</si>
  <si>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</si>
  <si>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</si>
  <si>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</si>
  <si>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</si>
  <si>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</si>
  <si>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</si>
  <si>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</si>
  <si>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</si>
  <si>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</si>
  <si>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</si>
  <si>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</si>
  <si>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</si>
  <si>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</si>
  <si>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</si>
  <si>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</si>
  <si>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</si>
  <si>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</si>
  <si>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</si>
  <si>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</si>
  <si>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</si>
  <si>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</si>
  <si>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</si>
  <si>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</si>
  <si>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</si>
  <si>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</si>
  <si>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</si>
  <si>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</si>
  <si>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</si>
  <si>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</si>
  <si>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</si>
  <si>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</si>
  <si>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</si>
  <si>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</si>
  <si>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</si>
  <si>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</si>
  <si>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</si>
  <si>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</si>
  <si>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</si>
  <si>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</si>
  <si>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</si>
  <si>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</si>
  <si>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</si>
  <si>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</si>
  <si>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</si>
  <si>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</si>
  <si>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</si>
  <si>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</si>
  <si>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</si>
  <si>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</si>
  <si>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</si>
  <si>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</si>
  <si>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</si>
  <si>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</si>
  <si>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</si>
  <si>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</si>
  <si>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</si>
  <si>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</si>
  <si>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</si>
  <si>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</si>
  <si>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</si>
  <si>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</si>
  <si>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</si>
  <si>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</si>
  <si>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</si>
  <si>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</si>
  <si>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</si>
  <si>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</si>
  <si>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</si>
  <si>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</si>
  <si>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</si>
  <si>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</si>
  <si>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</si>
  <si>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</si>
  <si>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</si>
  <si>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</si>
  <si>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</si>
  <si>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</si>
  <si>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</si>
  <si>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</si>
  <si>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</si>
  <si>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</si>
  <si>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</si>
  <si>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</si>
  <si>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</si>
  <si>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</si>
  <si>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</si>
  <si>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</si>
  <si>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</si>
  <si>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</si>
  <si>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</si>
  <si>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</si>
  <si>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</si>
  <si>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</si>
  <si>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</si>
  <si>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</si>
  <si>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</si>
  <si>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</si>
  <si>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</si>
  <si>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</si>
  <si>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</si>
  <si>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</si>
  <si>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</si>
  <si>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</si>
  <si>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</si>
  <si>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</si>
  <si>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Cálculo - É uma pergunta de negócio respondida através de alguma análise de dado específico</t>
  </si>
  <si>
    <r>
      <rPr>
        <b/>
        <sz val="11"/>
        <color theme="1"/>
        <rFont val="Aptos Narrow"/>
        <scheme val="minor"/>
      </rPr>
      <t>Pergunta de negócio 1</t>
    </r>
    <r>
      <rPr>
        <sz val="11"/>
        <color theme="1"/>
        <rFont val="Aptos Narrow"/>
        <family val="2"/>
        <scheme val="minor"/>
      </rPr>
      <t xml:space="preserve">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</si>
  <si>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</si>
  <si>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</si>
  <si>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</si>
  <si>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rPr>
        <b/>
        <sz val="11"/>
        <color theme="1"/>
        <rFont val="Aptos Narrow"/>
        <scheme val="minor"/>
      </rPr>
      <t>Pergunta de negócio 2</t>
    </r>
    <r>
      <rPr>
        <sz val="11"/>
        <color theme="1"/>
        <rFont val="Aptos Narrow"/>
        <scheme val="minor"/>
      </rPr>
      <t xml:space="preserve">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scheme val="minor"/>
      </rPr>
      <t>, separado por auto renovação não é por auto renovação</t>
    </r>
  </si>
  <si>
    <t>Soma de EA Play Season Pass</t>
  </si>
  <si>
    <r>
      <rPr>
        <b/>
        <sz val="11"/>
        <color theme="1"/>
        <rFont val="Aptos Narrow"/>
        <scheme val="minor"/>
      </rPr>
      <t>Pergunta de negócio 3</t>
    </r>
    <r>
      <rPr>
        <sz val="11"/>
        <color theme="1"/>
        <rFont val="Aptos Narrow"/>
        <scheme val="minor"/>
      </rPr>
      <t xml:space="preserve"> - Total de vendas de Assinaturas do EA Play</t>
    </r>
  </si>
  <si>
    <r>
      <rPr>
        <b/>
        <sz val="11"/>
        <color theme="1"/>
        <rFont val="Aptos Narrow"/>
        <scheme val="minor"/>
      </rPr>
      <t>Pergunta de negócio 3</t>
    </r>
    <r>
      <rPr>
        <sz val="11"/>
        <color theme="1"/>
        <rFont val="Aptos Narrow"/>
        <scheme val="minor"/>
      </rPr>
      <t xml:space="preserve"> - Total de vendas de Assinaturas do Minecraft Season Pass Price</t>
    </r>
  </si>
  <si>
    <t>Soma de Minecraft Season Pass Price</t>
  </si>
  <si>
    <t>🙋🏻Bem vindo , Antony</t>
  </si>
  <si>
    <t>Periodo de Apuração: 01/01/2024 - 31/12/2024| Update: 25/12/2025 15:17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</si>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</sst>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22C55E"/>
      <name val="Segoe UI"/>
      <family val="2"/>
    </font>
    <font>
      <sz val="9"/>
      <color theme="2" tint="-0.49998474074526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8" borderId="0" xfId="0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44" fontId="4" fillId="4" borderId="0" xfId="0" applyNumberFormat="1" applyFont="1" applyFill="1"/>
    <xf numFmtId="0" fontId="4" fillId="9" borderId="0" xfId="0" applyFont="1" applyFill="1"/>
    <xf numFmtId="0" fontId="4" fillId="4" borderId="0" xfId="0" applyNumberFormat="1" applyFont="1" applyFill="1"/>
    <xf numFmtId="0" fontId="1" fillId="0" borderId="0" xfId="1" applyBorder="1"/>
    <xf numFmtId="0" fontId="0" fillId="0" borderId="0" xfId="0" applyBorder="1"/>
    <xf numFmtId="0" fontId="1" fillId="0" borderId="2" xfId="1" applyBorder="1" applyAlignment="1">
      <alignment vertical="top"/>
    </xf>
    <xf numFmtId="0" fontId="7" fillId="0" borderId="2" xfId="1" applyFont="1" applyBorder="1" applyAlignment="1">
      <alignment horizontal="left" vertical="top" indent="6"/>
    </xf>
    <xf numFmtId="4" fontId="0" fillId="8" borderId="0" xfId="0" applyNumberFormat="1" applyFill="1"/>
    <xf numFmtId="0" fontId="8" fillId="0" borderId="0" xfId="0" applyFont="1"/>
    <xf numFmtId="0" fontId="4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5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>
          <bgColor rgb="FF22C55E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34" formatCode="_-&quot;R$&quot;\ * #,##0.00_-;\-&quot;R$&quot;\ * #,##0.00_-;_-&quot;R$&quot;\ * &quot;-&quot;??_-;_-@_-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fill>
        <patternFill patternType="solid">
          <bgColor rgb="FF22C55E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0244187B-D8FE-47A2-9282-485B063C5384}">
      <tableStyleElement type="wholeTable" dxfId="58"/>
      <tableStyleElement type="headerRow" dxfId="57"/>
    </tableStyle>
  </tableStyles>
  <colors>
    <mruColors>
      <color rgb="FF22C55E"/>
      <color rgb="FF5BF6A8"/>
      <color rgb="FFE0E0E0"/>
      <color rgb="FF2AE6B1"/>
      <color rgb="FF000000"/>
      <color rgb="FF9BC848"/>
      <color rgb="FFE8E6E9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de Vendas Xbox Game Pass.xlsx]C̳álculos!tbl_annual_total</c:name>
    <c:fmtId val="5"/>
  </c:pivotSource>
  <c:chart>
    <c:autoTitleDeleted val="1"/>
    <c:pivotFmts>
      <c:pivotFmt>
        <c:idx val="0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rgbClr val="0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4.1358742147130957E-3"/>
              <c:y val="-1.723535996886230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6.1818580143715421E-4"/>
              <c:y val="1.8394194199412368E-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fld id="{4F7A0BC9-DC1A-4383-A89F-8FA89DE94129}" type="VALUE">
                  <a:rPr lang="en-US" sz="1000">
                    <a:solidFill>
                      <a:srgbClr val="22C55E"/>
                    </a:solidFill>
                  </a:rPr>
                  <a:pPr>
                    <a:defRPr sz="1000" b="1">
                      <a:solidFill>
                        <a:srgbClr val="22C55E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3382720664900942E-2"/>
                  <c:h val="0.15721701727840237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1291742070383897E-2"/>
          <c:y val="0.16208779990354086"/>
          <c:w val="0.94677195017541638"/>
          <c:h val="0.564043617784831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96-4AB8-8336-BB5309ED7A64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96-4AB8-8336-BB5309ED7A64}"/>
              </c:ext>
            </c:extLst>
          </c:dPt>
          <c:dLbls>
            <c:dLbl>
              <c:idx val="0"/>
              <c:layout>
                <c:manualLayout>
                  <c:x val="-4.1358742147130957E-3"/>
                  <c:y val="-1.723535996886230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96-4AB8-8336-BB5309ED7A64}"/>
                </c:ext>
              </c:extLst>
            </c:dLbl>
            <c:dLbl>
              <c:idx val="1"/>
              <c:layout>
                <c:manualLayout>
                  <c:x val="-6.1818580143715421E-4"/>
                  <c:y val="1.8394194199412368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22C55E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F7A0BC9-DC1A-4383-A89F-8FA89DE94129}" type="VALUE">
                      <a:rPr lang="en-US" sz="1000">
                        <a:solidFill>
                          <a:srgbClr val="22C55E"/>
                        </a:solidFill>
                      </a:rPr>
                      <a:pPr>
                        <a:defRPr sz="1000" b="1">
                          <a:solidFill>
                            <a:srgbClr val="22C55E"/>
                          </a:solidFill>
                        </a:defRPr>
                      </a:pPr>
                      <a:t>[VALOR]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22C55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3382720664900942E-2"/>
                      <c:h val="0.1572170172784023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896-4AB8-8336-BB5309ED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96-4AB8-8336-BB5309ED7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7732792"/>
        <c:axId val="647730168"/>
      </c:barChart>
      <c:catAx>
        <c:axId val="647732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7730168"/>
        <c:crosses val="autoZero"/>
        <c:auto val="1"/>
        <c:lblAlgn val="ctr"/>
        <c:lblOffset val="100"/>
        <c:noMultiLvlLbl val="0"/>
      </c:catAx>
      <c:valAx>
        <c:axId val="6477301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477327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01395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777240</xdr:colOff>
      <xdr:row>13</xdr:row>
      <xdr:rowOff>7620</xdr:rowOff>
    </xdr:from>
    <xdr:to>
      <xdr:col>0</xdr:col>
      <xdr:colOff>1394460</xdr:colOff>
      <xdr:row>16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852C39-0A09-48E8-92CE-2BCFC7F785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62" t="20500" r="73135" b="22660"/>
        <a:stretch/>
      </xdr:blipFill>
      <xdr:spPr>
        <a:xfrm>
          <a:off x="777240" y="2781300"/>
          <a:ext cx="617220" cy="584835"/>
        </a:xfrm>
        <a:prstGeom prst="rect">
          <a:avLst/>
        </a:prstGeom>
      </xdr:spPr>
    </xdr:pic>
    <xdr:clientData/>
  </xdr:twoCellAnchor>
  <xdr:twoCellAnchor>
    <xdr:from>
      <xdr:col>1</xdr:col>
      <xdr:colOff>209551</xdr:colOff>
      <xdr:row>12</xdr:row>
      <xdr:rowOff>85725</xdr:rowOff>
    </xdr:from>
    <xdr:to>
      <xdr:col>15</xdr:col>
      <xdr:colOff>657225</xdr:colOff>
      <xdr:row>26</xdr:row>
      <xdr:rowOff>57150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94A22C76-14DC-4291-9239-EF215BE6E759}"/>
            </a:ext>
          </a:extLst>
        </xdr:cNvPr>
        <xdr:cNvSpPr/>
      </xdr:nvSpPr>
      <xdr:spPr>
        <a:xfrm>
          <a:off x="2028826" y="2571750"/>
          <a:ext cx="9229724" cy="2371725"/>
        </a:xfrm>
        <a:prstGeom prst="roundRect">
          <a:avLst>
            <a:gd name="adj" fmla="val 38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227196</xdr:colOff>
      <xdr:row>13</xdr:row>
      <xdr:rowOff>72449</xdr:rowOff>
    </xdr:from>
    <xdr:to>
      <xdr:col>15</xdr:col>
      <xdr:colOff>638175</xdr:colOff>
      <xdr:row>29</xdr:row>
      <xdr:rowOff>47498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60601D-E85A-4004-95DB-AD03805D3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20956</xdr:rowOff>
    </xdr:from>
    <xdr:to>
      <xdr:col>0</xdr:col>
      <xdr:colOff>1809748</xdr:colOff>
      <xdr:row>11</xdr:row>
      <xdr:rowOff>76201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9521C97-A6B3-45D7-AEDE-99157B1149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77316"/>
              <a:ext cx="1809748" cy="1122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5</xdr:row>
      <xdr:rowOff>104775</xdr:rowOff>
    </xdr:from>
    <xdr:to>
      <xdr:col>8</xdr:col>
      <xdr:colOff>419100</xdr:colOff>
      <xdr:row>12</xdr:row>
      <xdr:rowOff>72390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214A0B2-40AD-44B6-BE9A-AFBD31AF7BBA}"/>
            </a:ext>
          </a:extLst>
        </xdr:cNvPr>
        <xdr:cNvGrpSpPr/>
      </xdr:nvGrpSpPr>
      <xdr:grpSpPr>
        <a:xfrm>
          <a:off x="2011680" y="1331595"/>
          <a:ext cx="4526280" cy="1339215"/>
          <a:chOff x="2009775" y="1323975"/>
          <a:chExt cx="4505325" cy="132969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7757300-6257-49CD-967E-502591BADAD4}"/>
              </a:ext>
            </a:extLst>
          </xdr:cNvPr>
          <xdr:cNvSpPr/>
        </xdr:nvSpPr>
        <xdr:spPr>
          <a:xfrm>
            <a:off x="2009775" y="1504950"/>
            <a:ext cx="4505325" cy="962025"/>
          </a:xfrm>
          <a:prstGeom prst="roundRect">
            <a:avLst>
              <a:gd name="adj" fmla="val 108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B0A8EB9-2311-450C-9C5F-FA29E56FEE21}"/>
              </a:ext>
            </a:extLst>
          </xdr:cNvPr>
          <xdr:cNvSpPr/>
        </xdr:nvSpPr>
        <xdr:spPr>
          <a:xfrm>
            <a:off x="3571874" y="1755458"/>
            <a:ext cx="2943225" cy="676275"/>
          </a:xfrm>
          <a:prstGeom prst="roundRect">
            <a:avLst>
              <a:gd name="adj" fmla="val 108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0529699-A544-4EEF-AD96-536FFBA11886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DAF33EE4-5039-45C9-9666-17A389AF91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8022" y="1533525"/>
            <a:ext cx="1341120" cy="112014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AFB625EE-C3D8-4825-851A-4B9ADD492238}"/>
              </a:ext>
            </a:extLst>
          </xdr:cNvPr>
          <xdr:cNvSpPr/>
        </xdr:nvSpPr>
        <xdr:spPr>
          <a:xfrm>
            <a:off x="2019300" y="1323975"/>
            <a:ext cx="4495800" cy="3714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8</xdr:col>
      <xdr:colOff>647700</xdr:colOff>
      <xdr:row>7</xdr:row>
      <xdr:rowOff>28575</xdr:rowOff>
    </xdr:from>
    <xdr:to>
      <xdr:col>15</xdr:col>
      <xdr:colOff>647700</xdr:colOff>
      <xdr:row>11</xdr:row>
      <xdr:rowOff>57150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AAC6490E-1450-4D7A-AE09-5A7A80DF6EB1}"/>
            </a:ext>
          </a:extLst>
        </xdr:cNvPr>
        <xdr:cNvSpPr/>
      </xdr:nvSpPr>
      <xdr:spPr>
        <a:xfrm>
          <a:off x="6743700" y="1504950"/>
          <a:ext cx="4505325" cy="962025"/>
        </a:xfrm>
        <a:prstGeom prst="roundRect">
          <a:avLst>
            <a:gd name="adj" fmla="val 1085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11</xdr:col>
      <xdr:colOff>295275</xdr:colOff>
      <xdr:row>7</xdr:row>
      <xdr:rowOff>266699</xdr:rowOff>
    </xdr:from>
    <xdr:to>
      <xdr:col>15</xdr:col>
      <xdr:colOff>628650</xdr:colOff>
      <xdr:row>11</xdr:row>
      <xdr:rowOff>9524</xdr:rowOff>
    </xdr:to>
    <xdr:sp macro="" textlink="C̳álculos!E33">
      <xdr:nvSpPr>
        <xdr:cNvPr id="14" name="Retângulo: Cantos Arredondados 13">
          <a:extLst>
            <a:ext uri="{FF2B5EF4-FFF2-40B4-BE49-F238E27FC236}">
              <a16:creationId xmlns:a16="http://schemas.microsoft.com/office/drawing/2014/main" id="{0E5E0097-0BE3-4277-87CD-810670CE8654}"/>
            </a:ext>
          </a:extLst>
        </xdr:cNvPr>
        <xdr:cNvSpPr/>
      </xdr:nvSpPr>
      <xdr:spPr>
        <a:xfrm>
          <a:off x="8391525" y="1743074"/>
          <a:ext cx="2838450" cy="676275"/>
        </a:xfrm>
        <a:prstGeom prst="roundRect">
          <a:avLst>
            <a:gd name="adj" fmla="val 1085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D4B78DF-921B-42C4-8DD3-2EF030617BCA}" type="TxLink">
            <a:rPr lang="en-US" sz="3600" b="0" i="0" u="none" strike="noStrike">
              <a:solidFill>
                <a:srgbClr val="22C55E"/>
              </a:solidFill>
              <a:latin typeface="Aptos Narrow"/>
            </a:rPr>
            <a:pPr algn="ctr"/>
            <a:t> R$ 940,00 </a:t>
          </a:fld>
          <a:endParaRPr lang="pt-BR" sz="88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8</xdr:col>
      <xdr:colOff>657225</xdr:colOff>
      <xdr:row>5</xdr:row>
      <xdr:rowOff>104775</xdr:rowOff>
    </xdr:from>
    <xdr:to>
      <xdr:col>15</xdr:col>
      <xdr:colOff>647700</xdr:colOff>
      <xdr:row>7</xdr:row>
      <xdr:rowOff>219075</xdr:rowOff>
    </xdr:to>
    <xdr:sp macro="" textlink="">
      <xdr:nvSpPr>
        <xdr:cNvPr id="16" name="Retângulo: Cantos Superiores Arredondados 15">
          <a:extLst>
            <a:ext uri="{FF2B5EF4-FFF2-40B4-BE49-F238E27FC236}">
              <a16:creationId xmlns:a16="http://schemas.microsoft.com/office/drawing/2014/main" id="{F73125AC-4CDA-41D3-9880-D2F58F360403}"/>
            </a:ext>
          </a:extLst>
        </xdr:cNvPr>
        <xdr:cNvSpPr/>
      </xdr:nvSpPr>
      <xdr:spPr>
        <a:xfrm>
          <a:off x="6753225" y="1323975"/>
          <a:ext cx="4495800" cy="3714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 SUBSCRIPTIONS MINECRAFT SEASON PASS</a:t>
          </a:r>
          <a:endParaRPr lang="pt-BR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9</xdr:col>
      <xdr:colOff>224790</xdr:colOff>
      <xdr:row>7</xdr:row>
      <xdr:rowOff>315276</xdr:rowOff>
    </xdr:from>
    <xdr:to>
      <xdr:col>11</xdr:col>
      <xdr:colOff>234315</xdr:colOff>
      <xdr:row>10</xdr:row>
      <xdr:rowOff>128586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4CF646C-A12E-4468-9F7C-3AA94C1CEE76}"/>
            </a:ext>
          </a:extLst>
        </xdr:cNvPr>
        <xdr:cNvGrpSpPr/>
      </xdr:nvGrpSpPr>
      <xdr:grpSpPr>
        <a:xfrm>
          <a:off x="7014210" y="1793556"/>
          <a:ext cx="1350645" cy="582930"/>
          <a:chOff x="6972300" y="1752600"/>
          <a:chExt cx="1343025" cy="571500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A56C6011-51BC-4D16-9300-225EF21A7C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08223" y="1752600"/>
            <a:ext cx="481483" cy="462986"/>
          </a:xfrm>
          <a:prstGeom prst="rect">
            <a:avLst/>
          </a:prstGeom>
        </xdr:spPr>
      </xdr:pic>
      <xdr:pic>
        <xdr:nvPicPr>
          <xdr:cNvPr id="19" name="Gráfico 18">
            <a:extLst>
              <a:ext uri="{FF2B5EF4-FFF2-40B4-BE49-F238E27FC236}">
                <a16:creationId xmlns:a16="http://schemas.microsoft.com/office/drawing/2014/main" id="{577C7C07-AB32-4C32-ACBC-A2CC6BB914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6972300" y="2128749"/>
            <a:ext cx="1343025" cy="19535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209549</xdr:colOff>
      <xdr:row>12</xdr:row>
      <xdr:rowOff>85725</xdr:rowOff>
    </xdr:from>
    <xdr:to>
      <xdr:col>15</xdr:col>
      <xdr:colOff>657224</xdr:colOff>
      <xdr:row>14</xdr:row>
      <xdr:rowOff>114300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71853413-99F7-41D1-A106-408B65515B24}"/>
            </a:ext>
          </a:extLst>
        </xdr:cNvPr>
        <xdr:cNvSpPr/>
      </xdr:nvSpPr>
      <xdr:spPr>
        <a:xfrm>
          <a:off x="2028824" y="2571750"/>
          <a:ext cx="9229725" cy="3714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200" baseline="0">
              <a:latin typeface="Segoe UI" panose="020B0502040204020203" pitchFamily="34" charset="0"/>
              <a:cs typeface="Segoe UI" panose="020B0502040204020203" pitchFamily="34" charset="0"/>
            </a:rPr>
            <a:t> SUBSCRIPTIONS XBOX GAME PASS</a:t>
          </a:r>
          <a:endParaRPr lang="pt-BR" sz="12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542925</xdr:colOff>
      <xdr:row>0</xdr:row>
      <xdr:rowOff>85725</xdr:rowOff>
    </xdr:from>
    <xdr:to>
      <xdr:col>0</xdr:col>
      <xdr:colOff>1299210</xdr:colOff>
      <xdr:row>2</xdr:row>
      <xdr:rowOff>131445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AD8F5178-B418-48F5-ACA9-11026BDA7A73}"/>
            </a:ext>
          </a:extLst>
        </xdr:cNvPr>
        <xdr:cNvSpPr/>
      </xdr:nvSpPr>
      <xdr:spPr>
        <a:xfrm>
          <a:off x="542925" y="85725"/>
          <a:ext cx="756285" cy="69342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eting Ferrasoldas" refreshedDate="46009.533003124998" createdVersion="7" refreshedVersion="7" minRefreshableVersion="3" recordCount="295" xr:uid="{DA5597A3-93F8-4865-BFE1-D77883D833B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662133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8CEF9-1AF4-485E-8922-3E052BD7B355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2">
    <format dxfId="11">
      <pivotArea field="6" type="button" dataOnly="0" labelOnly="1" outline="0" axis="axisPage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field="2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field="6" type="button" dataOnly="0" labelOnly="1" outline="0" axis="axisPage" fieldPosition="0"/>
    </format>
    <format dxfId="4">
      <pivotArea dataOnly="0" labelOnly="1" outline="0" fieldPosition="0">
        <references count="1">
          <reference field="6" count="0"/>
        </references>
      </pivotArea>
    </format>
    <format dxfId="3">
      <pivotArea dataOnly="0" labelOnly="1" outline="0" axis="axisValues" fieldPosition="0"/>
    </format>
    <format dxfId="2">
      <pivotArea field="2" type="button" dataOnly="0" labelOnly="1" outline="0" axis="axisRow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848C1-2E65-45E9-AC74-8583087C6B40}" name="tbl_an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6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9">
    <format dxfId="30">
      <pivotArea outline="0" collapsedLevelsAreSubtotals="1" fieldPosition="0"/>
    </format>
    <format dxfId="29">
      <pivotArea dataOnly="0" labelOnly="1" outline="0" fieldPosition="0">
        <references count="1">
          <reference field="6" count="1">
            <x v="1"/>
          </reference>
        </references>
      </pivotArea>
    </format>
    <format dxfId="28">
      <pivotArea field="6" type="button" dataOnly="0" labelOnly="1" outline="0" axis="axisPage" fieldPosition="0"/>
    </format>
    <format dxfId="27">
      <pivotArea field="4" type="button" dataOnly="0" labelOnly="1" outline="0" axis="axisRow" fieldPosition="0"/>
    </format>
    <format dxfId="26">
      <pivotArea dataOnly="0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field="6" type="button" dataOnly="0" labelOnly="1" outline="0" axis="axisPage" fieldPosition="0"/>
    </format>
    <format dxfId="22">
      <pivotArea dataOnly="0" labelOnly="1" outline="0" fieldPosition="0">
        <references count="1">
          <reference field="6" count="1">
            <x v="2"/>
          </reference>
        </references>
      </pivotArea>
    </format>
    <format dxfId="21">
      <pivotArea field="4" type="button" dataOnly="0" labelOnly="1" outline="0" axis="axisRow" fieldPosition="0"/>
    </format>
    <format dxfId="20">
      <pivotArea dataOnly="0" labelOnly="1" outline="0" axis="axisValues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field="6" type="button" dataOnly="0" labelOnly="1" outline="0" axis="axisPage" fieldPosition="0"/>
    </format>
    <format dxfId="16">
      <pivotArea dataOnly="0" labelOnly="1" outline="0" fieldPosition="0">
        <references count="1">
          <reference field="6" count="1">
            <x v="2"/>
          </reference>
        </references>
      </pivotArea>
    </format>
    <format dxfId="15">
      <pivotArea dataOnly="0" labelOnly="1" outline="0" axis="axisValues" fieldPosition="0"/>
    </format>
    <format dxfId="14">
      <pivotArea field="4" type="button" dataOnly="0" labelOnly="1" outline="0" axis="axisRow" fieldPosition="0"/>
    </format>
    <format dxfId="13">
      <pivotArea dataOnly="0" labelOnly="1" grandRow="1" outline="0" fieldPosition="0"/>
    </format>
    <format dxfId="12">
      <pivotArea grandRow="1" outline="0" collapsedLevelsAreSubtotals="1" fieldPosition="0"/>
    </format>
  </format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F87C7-8448-4AD4-9890-768A5BFCF1F0}" name="Tabela dinâ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2">
    <format dxfId="42">
      <pivotArea field="6" type="button" dataOnly="0" labelOnly="1" outline="0" axis="axisPage" fieldPosition="0"/>
    </format>
    <format dxfId="41">
      <pivotArea dataOnly="0" labelOnly="1" outline="0" fieldPosition="0">
        <references count="1">
          <reference field="6" count="0"/>
        </references>
      </pivotArea>
    </format>
    <format dxfId="40">
      <pivotArea field="2" type="button" dataOnly="0" labelOnly="1" outline="0" axis="axisRow" fieldPosition="0"/>
    </format>
    <format dxfId="39">
      <pivotArea dataOnly="0" labelOnly="1" outline="0" axis="axisValues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field="6" type="button" dataOnly="0" labelOnly="1" outline="0" axis="axisPage" fieldPosition="0"/>
    </format>
    <format dxfId="35">
      <pivotArea dataOnly="0" labelOnly="1" outline="0" fieldPosition="0">
        <references count="1">
          <reference field="6" count="0"/>
        </references>
      </pivotArea>
    </format>
    <format dxfId="34">
      <pivotArea dataOnly="0" labelOnly="1" outline="0" axis="axisValues" fieldPosition="0"/>
    </format>
    <format dxfId="33">
      <pivotArea field="2" type="button" dataOnly="0" labelOnly="1" outline="0" axis="axisRow" fieldPosition="0"/>
    </format>
    <format dxfId="32">
      <pivotArea dataOnly="0" labelOnly="1" grandRow="1" outline="0" fieldPosition="0"/>
    </format>
    <format dxfId="31">
      <pivotArea grandRow="1" outline="0" collapsedLevelsAreSubtotals="1" fieldPosition="0"/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A3A9646-10E7-4184-BC67-B33F7FC34214}" sourceName="Subscription Type">
  <pivotTables>
    <pivotTable tabId="3" name="tbl_annual_total"/>
    <pivotTable tabId="3" name="tbl_easeasonpass_total"/>
    <pivotTable tabId="3" name="Tabela dinâmica5"/>
  </pivotTables>
  <data>
    <tabular pivotCacheId="106621337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C2E5DDB-075F-4F5E-A75B-6464357C9355}" cache="SegmentaçãodeDados_Subscription_Type" caption="Subscription Type" style="SlicerStyleLight6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6">
  <autoFilter ref="A1:M296" xr:uid="{34E0E886-4200-4B36-97B3-63DB74FF40A0}"/>
  <tableColumns count="13">
    <tableColumn id="1" xr3:uid="{C4A90516-688A-46BF-9167-EA16C2A8A652}" name="Subscriber ID" dataDxfId="55"/>
    <tableColumn id="2" xr3:uid="{53DD39D0-2220-4121-9E9D-4EAA7E151C0F}" name="Name" dataDxfId="54"/>
    <tableColumn id="3" xr3:uid="{4F5FF271-4C57-4BE0-8F2C-F82C8551625C}" name="Plan" dataDxfId="53"/>
    <tableColumn id="4" xr3:uid="{8C17EB93-79B9-4E55-B8F7-BEB82F8253E9}" name="Start Date" dataDxfId="52"/>
    <tableColumn id="5" xr3:uid="{48CEDF9B-1689-482A-A828-5CCE7713264A}" name="Auto Renewal" dataDxfId="51"/>
    <tableColumn id="6" xr3:uid="{78B82374-9AA7-4E38-AE4F-78CDE6C83720}" name="Subscription Price" dataDxfId="50" dataCellStyle="Moeda"/>
    <tableColumn id="7" xr3:uid="{F2433F68-AF33-49D0-B1FB-19A396074EDE}" name="Subscription Type" dataDxfId="49"/>
    <tableColumn id="8" xr3:uid="{FD4D9C95-F6E5-4933-9068-A71FF7DF9343}" name="EA Play Season Pass" dataDxfId="48"/>
    <tableColumn id="13" xr3:uid="{978DD0D2-834E-4CE4-A39B-30976086932F}" name="EA Play Season Pass_x000a_Price" dataDxfId="47" dataCellStyle="Moeda"/>
    <tableColumn id="9" xr3:uid="{6E29F111-C395-4580-9DAD-3407D9E8B1A4}" name="Minecraft Season Pass" dataDxfId="46"/>
    <tableColumn id="10" xr3:uid="{EF544EAA-7F25-4FD5-A10E-8E62804DB9E3}" name="Minecraft Season Pass Price" dataDxfId="45" dataCellStyle="Moeda"/>
    <tableColumn id="11" xr3:uid="{7F6EB64A-1F07-4E48-9F0F-AC7D9DCD26F8}" name="Coupon Value" dataDxfId="44" dataCellStyle="Moeda"/>
    <tableColumn id="12" xr3:uid="{2B04ABC8-DE6F-426E-ADC0-D8AFC68CA58E}" name="Total Value" dataDxfId="4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R8" sqref="R8"/>
    </sheetView>
  </sheetViews>
  <sheetFormatPr defaultRowHeight="13.8"/>
  <cols>
    <col min="9" max="9" width="3.59765625" customWidth="1"/>
  </cols>
  <sheetData>
    <row r="3" spans="2:16" ht="19.8" thickBot="1">
      <c r="B3" s="1" t="s">
        <v>0</v>
      </c>
      <c r="C3" s="1"/>
      <c r="D3" s="1"/>
      <c r="E3" s="1"/>
      <c r="F3" s="1"/>
      <c r="G3" s="1"/>
      <c r="H3" s="1"/>
    </row>
    <row r="4" spans="2:16" ht="14.4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4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R8" sqref="R8"/>
    </sheetView>
  </sheetViews>
  <sheetFormatPr defaultRowHeight="13.8"/>
  <cols>
    <col min="1" max="1" width="17.296875" bestFit="1" customWidth="1"/>
    <col min="2" max="2" width="17.69921875" bestFit="1" customWidth="1"/>
    <col min="3" max="3" width="9.3984375" bestFit="1" customWidth="1"/>
    <col min="4" max="4" width="14.296875" bestFit="1" customWidth="1"/>
    <col min="5" max="5" width="17.5" bestFit="1" customWidth="1"/>
    <col min="6" max="6" width="16.5" bestFit="1" customWidth="1"/>
    <col min="7" max="7" width="21.3984375" bestFit="1" customWidth="1"/>
    <col min="8" max="9" width="24.09765625" bestFit="1" customWidth="1"/>
    <col min="10" max="10" width="20.5" customWidth="1"/>
    <col min="11" max="11" width="25.3984375" bestFit="1" customWidth="1"/>
    <col min="12" max="12" width="12.296875" bestFit="1" customWidth="1"/>
    <col min="13" max="13" width="10.19921875" bestFit="1" customWidth="1"/>
  </cols>
  <sheetData>
    <row r="1" spans="1:13" ht="27.6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293"/>
  <sheetViews>
    <sheetView showGridLines="0" workbookViewId="0">
      <selection activeCell="R8" sqref="R8"/>
    </sheetView>
  </sheetViews>
  <sheetFormatPr defaultRowHeight="13.8"/>
  <cols>
    <col min="2" max="2" width="17.69921875" bestFit="1" customWidth="1"/>
    <col min="3" max="3" width="34.5" style="15" bestFit="1" customWidth="1"/>
    <col min="4" max="4" width="30.5976562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2" spans="2:6">
      <c r="B2" s="29" t="s">
        <v>313</v>
      </c>
      <c r="C2" s="29"/>
      <c r="D2" s="29"/>
      <c r="E2" s="29"/>
      <c r="F2" s="29"/>
    </row>
    <row r="4" spans="2:6">
      <c r="B4" s="12" t="s">
        <v>314</v>
      </c>
    </row>
    <row r="5" spans="2:6">
      <c r="B5" s="12" t="s">
        <v>318</v>
      </c>
    </row>
    <row r="6" spans="2:6">
      <c r="B6" s="12"/>
    </row>
    <row r="7" spans="2:6">
      <c r="B7" s="12"/>
    </row>
    <row r="8" spans="2:6">
      <c r="B8" s="18" t="s">
        <v>16</v>
      </c>
      <c r="C8" t="s">
        <v>24</v>
      </c>
    </row>
    <row r="10" spans="2:6">
      <c r="B10" s="18" t="s">
        <v>315</v>
      </c>
      <c r="C10" s="18" t="s">
        <v>317</v>
      </c>
    </row>
    <row r="11" spans="2:6">
      <c r="B11" s="13" t="s">
        <v>23</v>
      </c>
      <c r="C11" s="16">
        <v>217</v>
      </c>
    </row>
    <row r="12" spans="2:6">
      <c r="B12" s="13" t="s">
        <v>19</v>
      </c>
      <c r="C12" s="16">
        <v>1537</v>
      </c>
    </row>
    <row r="13" spans="2:6">
      <c r="B13" s="19" t="s">
        <v>316</v>
      </c>
      <c r="C13" s="20">
        <v>1754</v>
      </c>
    </row>
    <row r="14" spans="2:6">
      <c r="C14"/>
    </row>
    <row r="15" spans="2:6">
      <c r="B15" s="12" t="s">
        <v>320</v>
      </c>
    </row>
    <row r="16" spans="2:6">
      <c r="C16"/>
    </row>
    <row r="17" spans="2:5">
      <c r="B17" s="18" t="s">
        <v>16</v>
      </c>
      <c r="C17" s="18" t="s">
        <v>24</v>
      </c>
    </row>
    <row r="18" spans="2:5">
      <c r="B18" s="21"/>
      <c r="C18" s="21"/>
    </row>
    <row r="19" spans="2:5">
      <c r="B19" s="18" t="s">
        <v>315</v>
      </c>
      <c r="C19" s="18" t="s">
        <v>319</v>
      </c>
    </row>
    <row r="20" spans="2:5">
      <c r="B20" s="13" t="s">
        <v>22</v>
      </c>
      <c r="C20" s="14">
        <v>0</v>
      </c>
    </row>
    <row r="21" spans="2:5">
      <c r="B21" s="13" t="s">
        <v>26</v>
      </c>
      <c r="C21" s="14">
        <v>0</v>
      </c>
    </row>
    <row r="22" spans="2:5">
      <c r="B22" s="13" t="s">
        <v>18</v>
      </c>
      <c r="C22" s="14">
        <v>600</v>
      </c>
    </row>
    <row r="23" spans="2:5">
      <c r="B23" s="19" t="s">
        <v>316</v>
      </c>
      <c r="C23" s="22">
        <v>600</v>
      </c>
      <c r="E23" s="15">
        <f>GETPIVOTDATA("EA Play Season Pass
Price",$B$19)</f>
        <v>600</v>
      </c>
    </row>
    <row r="24" spans="2:5">
      <c r="C24"/>
    </row>
    <row r="25" spans="2:5">
      <c r="B25" s="12" t="s">
        <v>321</v>
      </c>
      <c r="C25"/>
    </row>
    <row r="26" spans="2:5">
      <c r="C26"/>
    </row>
    <row r="27" spans="2:5">
      <c r="B27" s="18" t="s">
        <v>16</v>
      </c>
      <c r="C27" s="18" t="s">
        <v>24</v>
      </c>
    </row>
    <row r="28" spans="2:5">
      <c r="B28" s="21"/>
      <c r="C28" s="21"/>
    </row>
    <row r="29" spans="2:5">
      <c r="B29" s="18" t="s">
        <v>315</v>
      </c>
      <c r="C29" s="18" t="s">
        <v>322</v>
      </c>
    </row>
    <row r="30" spans="2:5">
      <c r="B30" s="13" t="s">
        <v>22</v>
      </c>
      <c r="C30" s="14">
        <v>0</v>
      </c>
    </row>
    <row r="31" spans="2:5">
      <c r="B31" s="13" t="s">
        <v>26</v>
      </c>
      <c r="C31" s="14">
        <v>540</v>
      </c>
    </row>
    <row r="32" spans="2:5">
      <c r="B32" s="13" t="s">
        <v>18</v>
      </c>
      <c r="C32" s="14">
        <v>400</v>
      </c>
    </row>
    <row r="33" spans="2:5">
      <c r="B33" s="19" t="s">
        <v>316</v>
      </c>
      <c r="C33" s="22">
        <v>940</v>
      </c>
      <c r="E33" s="15">
        <f>GETPIVOTDATA("Minecraft Season Pass Price",$B$29)</f>
        <v>940</v>
      </c>
    </row>
    <row r="34" spans="2:5">
      <c r="C34"/>
    </row>
    <row r="35" spans="2:5">
      <c r="C35"/>
    </row>
    <row r="36" spans="2:5">
      <c r="C36"/>
    </row>
    <row r="37" spans="2:5">
      <c r="C37"/>
    </row>
    <row r="38" spans="2:5">
      <c r="C38"/>
    </row>
    <row r="39" spans="2:5">
      <c r="C39"/>
    </row>
    <row r="40" spans="2:5">
      <c r="C40"/>
    </row>
    <row r="41" spans="2:5">
      <c r="C41"/>
    </row>
    <row r="42" spans="2:5">
      <c r="C42"/>
    </row>
    <row r="43" spans="2:5">
      <c r="C43"/>
    </row>
    <row r="44" spans="2:5">
      <c r="C44"/>
    </row>
    <row r="45" spans="2:5">
      <c r="C45"/>
    </row>
    <row r="46" spans="2:5">
      <c r="C46"/>
    </row>
    <row r="47" spans="2:5">
      <c r="C47"/>
    </row>
    <row r="48" spans="2:5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S557"/>
  <sheetViews>
    <sheetView showGridLines="0" showRowColHeaders="0" tabSelected="1" zoomScaleNormal="100" workbookViewId="0">
      <selection activeCell="U39" sqref="U39"/>
    </sheetView>
  </sheetViews>
  <sheetFormatPr defaultRowHeight="13.8"/>
  <cols>
    <col min="1" max="1" width="23.8984375" style="4" customWidth="1"/>
    <col min="2" max="2" width="3.59765625" customWidth="1"/>
    <col min="12" max="12" width="6.59765625" customWidth="1"/>
  </cols>
  <sheetData>
    <row r="2" spans="1:45" ht="37.799999999999997" customHeight="1" thickBot="1">
      <c r="C2" s="26" t="s">
        <v>325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3"/>
    </row>
    <row r="3" spans="1:45" ht="30" customHeight="1" thickTop="1">
      <c r="A3" s="4" t="s">
        <v>323</v>
      </c>
      <c r="C3" s="28" t="s">
        <v>324</v>
      </c>
      <c r="Q3" s="24"/>
    </row>
    <row r="4" spans="1:45" ht="8.25" customHeight="1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</row>
    <row r="5" spans="1:45" ht="7.5" customHeight="1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</row>
    <row r="6" spans="1:45" ht="10.5" customHeight="1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</row>
    <row r="7" spans="1:45" ht="9.75" customHeight="1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</row>
    <row r="8" spans="1:45" ht="33" customHeight="1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</row>
    <row r="9" spans="1:45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</row>
    <row r="10" spans="1:45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</row>
    <row r="11" spans="1:45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</row>
    <row r="12" spans="1:45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</row>
    <row r="13" spans="1:45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</row>
    <row r="14" spans="1:45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</row>
    <row r="15" spans="1:45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</row>
    <row r="16" spans="1:45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</row>
    <row r="17" spans="2:45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</row>
    <row r="18" spans="2:45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</row>
    <row r="19" spans="2:45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</row>
    <row r="20" spans="2:4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2:45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</row>
    <row r="22" spans="2:45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</row>
    <row r="23" spans="2:45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</row>
    <row r="24" spans="2:45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</row>
    <row r="25" spans="2:45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</row>
    <row r="26" spans="2:45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</row>
    <row r="27" spans="2:4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</row>
    <row r="28" spans="2:45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</row>
    <row r="29" spans="2:45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</row>
    <row r="30" spans="2:45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</row>
    <row r="31" spans="2:45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</row>
    <row r="32" spans="2:45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</row>
    <row r="33" spans="2:45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</row>
    <row r="34" spans="2:45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</row>
    <row r="35" spans="2:45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</row>
    <row r="36" spans="2:45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</row>
    <row r="37" spans="2:45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</row>
    <row r="38" spans="2:45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2:45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2:45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2:45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2:45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2:45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2:45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2:45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2:45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2:4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2:45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2:45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2:45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2:45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2:45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2:4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2:45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2:45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2:45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2:45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2:45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2:45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2:45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2:45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2:45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2:4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2:4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2:4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2:4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2:45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2:45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2:4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2:45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2:4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2:45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2:45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2:45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2:45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2:45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2:45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2:45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2:45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2:45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2:45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2:45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2:45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2:45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2:45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  <row r="86" spans="2:45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</row>
    <row r="87" spans="2:45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</row>
    <row r="88" spans="2:45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2:45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</row>
    <row r="90" spans="2:45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</row>
    <row r="91" spans="2:45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</row>
    <row r="92" spans="2:45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</row>
    <row r="93" spans="2:45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</row>
    <row r="94" spans="2:45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</row>
    <row r="95" spans="2:45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</row>
    <row r="96" spans="2:45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</row>
    <row r="97" spans="2:45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</row>
    <row r="98" spans="2:45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</row>
    <row r="99" spans="2:45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</row>
    <row r="100" spans="2:45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</row>
    <row r="101" spans="2:45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</row>
    <row r="102" spans="2:45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</row>
    <row r="103" spans="2:45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</row>
    <row r="104" spans="2:45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</row>
    <row r="105" spans="2:45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</row>
    <row r="106" spans="2:45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</row>
    <row r="107" spans="2:45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</row>
    <row r="108" spans="2:45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</row>
    <row r="109" spans="2:45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</row>
    <row r="110" spans="2:45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</row>
    <row r="111" spans="2:45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</row>
    <row r="112" spans="2:45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</row>
    <row r="113" spans="2:45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</row>
    <row r="114" spans="2:45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</row>
    <row r="115" spans="2:45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</row>
    <row r="116" spans="2:45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</row>
    <row r="117" spans="2:45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</row>
    <row r="118" spans="2:45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</row>
    <row r="119" spans="2:45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</row>
    <row r="120" spans="2:45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</row>
    <row r="121" spans="2:45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</row>
    <row r="122" spans="2:45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</row>
    <row r="123" spans="2:45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</row>
    <row r="124" spans="2:45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</row>
    <row r="125" spans="2:45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</row>
    <row r="126" spans="2:45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</row>
    <row r="127" spans="2:45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</row>
    <row r="128" spans="2:45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</row>
    <row r="129" spans="2:45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</row>
    <row r="130" spans="2:45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</row>
    <row r="131" spans="2:45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</row>
    <row r="132" spans="2:45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</row>
    <row r="133" spans="2:45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</row>
    <row r="134" spans="2:45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</row>
    <row r="135" spans="2:45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</row>
    <row r="136" spans="2:45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</row>
    <row r="137" spans="2:45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</row>
    <row r="138" spans="2:45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</row>
    <row r="139" spans="2:45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</row>
    <row r="140" spans="2:45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</row>
    <row r="141" spans="2:45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</row>
    <row r="142" spans="2:45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</row>
    <row r="143" spans="2:45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</row>
    <row r="144" spans="2:45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</row>
    <row r="145" spans="2:45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</row>
    <row r="146" spans="2:45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</row>
    <row r="147" spans="2:45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</row>
    <row r="148" spans="2:45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</row>
    <row r="149" spans="2:45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</row>
    <row r="150" spans="2:45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</row>
    <row r="151" spans="2:45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</row>
    <row r="152" spans="2:45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</row>
    <row r="153" spans="2:45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</row>
    <row r="154" spans="2:45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</row>
    <row r="155" spans="2:45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</row>
    <row r="156" spans="2:45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</row>
    <row r="157" spans="2:45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</row>
    <row r="158" spans="2:45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</row>
    <row r="159" spans="2:45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</row>
    <row r="160" spans="2:45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</row>
    <row r="161" spans="2:45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</row>
    <row r="162" spans="2:45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</row>
    <row r="163" spans="2:45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</row>
    <row r="164" spans="2:45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</row>
    <row r="165" spans="2:45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</row>
    <row r="166" spans="2:45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</row>
    <row r="167" spans="2:45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</row>
    <row r="168" spans="2:45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</row>
    <row r="169" spans="2:45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</row>
    <row r="170" spans="2:45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</row>
    <row r="171" spans="2:45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</row>
    <row r="172" spans="2:45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</row>
    <row r="173" spans="2:45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</row>
    <row r="174" spans="2:45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</row>
    <row r="175" spans="2:45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</row>
    <row r="176" spans="2:45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</row>
    <row r="177" spans="2:45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</row>
    <row r="178" spans="2:45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</row>
    <row r="179" spans="2:45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</row>
    <row r="180" spans="2:45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</row>
    <row r="181" spans="2:45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</row>
    <row r="182" spans="2:45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</row>
    <row r="183" spans="2:45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</row>
    <row r="184" spans="2:45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</row>
    <row r="185" spans="2:45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</row>
    <row r="186" spans="2:45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</row>
    <row r="187" spans="2:45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</row>
    <row r="188" spans="2:45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</row>
    <row r="189" spans="2:45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 spans="2:45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</row>
    <row r="191" spans="2:45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</row>
    <row r="192" spans="2:45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</row>
    <row r="193" spans="2:45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</row>
    <row r="194" spans="2:45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</row>
    <row r="195" spans="2:45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</row>
    <row r="196" spans="2:45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</row>
    <row r="197" spans="2:45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</row>
    <row r="198" spans="2:45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</row>
    <row r="199" spans="2:45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</row>
    <row r="200" spans="2:45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</row>
    <row r="201" spans="2:45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</row>
    <row r="202" spans="2:45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</row>
    <row r="203" spans="2:45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</row>
    <row r="204" spans="2:45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</row>
    <row r="205" spans="2:45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 spans="2:45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 spans="2:45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 spans="2:45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 spans="2:45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 spans="2:45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 spans="2:45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 spans="2:45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spans="2:45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 spans="2:45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 spans="2:45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 spans="2:45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 spans="2:45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 spans="2:45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 spans="2:45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 spans="2:45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 spans="2:45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 spans="2:45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 spans="2:45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spans="2:45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 spans="2:45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2:45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spans="2:45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spans="2:45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spans="2:45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spans="2:45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 spans="2:45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 spans="2:45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 spans="2:45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 spans="2:45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 spans="2:45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 spans="2:45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 spans="2:45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 spans="2:45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 spans="2:45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 spans="2:45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 spans="2:45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 spans="2:45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 spans="2:45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 spans="2:45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 spans="2:45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 spans="2:45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 spans="2:45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 spans="2:45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 spans="2:45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 spans="2:45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 spans="2:45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 spans="2:45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 spans="2:45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 spans="2:45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 spans="2:45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 spans="2:45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 spans="2:45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 spans="2:45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 spans="2:45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 spans="2:45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 spans="2:45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 spans="2:45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spans="2:45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 spans="2:45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 spans="2:45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 spans="2:45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 spans="2:45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 spans="2:45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 spans="2:45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 spans="2:45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 spans="2:45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 spans="2:45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 spans="2:45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 spans="2:45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 spans="2:45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 spans="2:45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 spans="2:45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 spans="2:45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 spans="2:45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 spans="2:45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 spans="2:45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 spans="2:45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 spans="2:45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 spans="2:45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 spans="2:45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 spans="2:45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 spans="2:45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 spans="2:45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 spans="2:45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 spans="2:45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 spans="2:45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 spans="2:45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 spans="2:45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 spans="2:45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 spans="2:45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 spans="2:45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 spans="2:45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 spans="2:45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 spans="2:45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 spans="2:45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 spans="2:45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 spans="2:45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 spans="2:45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 spans="2:45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 spans="2:45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 spans="2:4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 spans="2:4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 spans="2:4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 spans="2:4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 spans="2:4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 spans="2:4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 spans="2:4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 spans="2:45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 spans="2:45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 spans="2:45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 spans="2:45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 spans="2:45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 spans="2:45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 spans="2:45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 spans="2:45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 spans="2:45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 spans="2:45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 spans="2:45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 spans="2:45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 spans="2:45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 spans="2:45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 spans="2:45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 spans="2:45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 spans="2:45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 spans="2:45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 spans="2:45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 spans="2:45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 spans="2:45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 spans="2:45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 spans="2:45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 spans="2:45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 spans="2:45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 spans="2:45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 spans="2:45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 spans="2:45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 spans="2:45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 spans="2:45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 spans="2:45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 spans="2:45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 spans="2:45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 spans="2:45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 spans="2:45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 spans="2:45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 spans="2:45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 spans="2:45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 spans="2:45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 spans="2:45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 spans="2:45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 spans="2:45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 spans="2:4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 spans="2:45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 spans="2:45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 spans="2:45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 spans="2:45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 spans="2:45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 spans="2:45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 spans="2:45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 spans="2:45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 spans="2:45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 spans="2:4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 spans="2:45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 spans="2:45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 spans="2:45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 spans="2:45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 spans="2:45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 spans="2:45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 spans="2:45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 spans="2:45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 spans="2:45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 spans="2:4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 spans="2:45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 spans="2:45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 spans="2:45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 spans="2:45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 spans="2:45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 spans="2:45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 spans="2:45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 spans="2:45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 spans="2:45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 spans="2:4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 spans="2:45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 spans="2:45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 spans="2:45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 spans="2:45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 spans="2:45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 spans="2:45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 spans="2:45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 spans="2:45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 spans="2:45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 spans="2:4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 spans="2:45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 spans="2:45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 spans="2:45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spans="2:45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spans="2:45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 spans="2:45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 spans="2:45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 spans="2:45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 spans="2:45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 spans="2:4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 spans="2:45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 spans="2:45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  <row r="408" spans="2:45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</row>
    <row r="409" spans="2:45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</row>
    <row r="410" spans="2:45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</row>
    <row r="411" spans="2:45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</row>
    <row r="412" spans="2:45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</row>
    <row r="413" spans="2:45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</row>
    <row r="414" spans="2:45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</row>
    <row r="415" spans="2:4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</row>
    <row r="416" spans="2:45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</row>
    <row r="417" spans="2:45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</row>
    <row r="418" spans="2:45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</row>
    <row r="419" spans="2:45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</row>
    <row r="420" spans="2:45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</row>
    <row r="421" spans="2:45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</row>
    <row r="422" spans="2:45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</row>
    <row r="423" spans="2:45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</row>
    <row r="424" spans="2:45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</row>
    <row r="425" spans="2:4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</row>
    <row r="426" spans="2:45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</row>
    <row r="427" spans="2:45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</row>
    <row r="428" spans="2:45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</row>
    <row r="429" spans="2:45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</row>
    <row r="430" spans="2:45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</row>
    <row r="431" spans="2:45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</row>
    <row r="432" spans="2:45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</row>
    <row r="433" spans="2:45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</row>
    <row r="434" spans="2:45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</row>
    <row r="435" spans="2:4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</row>
    <row r="436" spans="2:45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</row>
    <row r="437" spans="2:45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</row>
    <row r="438" spans="2:45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</row>
    <row r="439" spans="2:45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</row>
    <row r="440" spans="2:45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</row>
    <row r="441" spans="2:45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</row>
    <row r="442" spans="2:45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</row>
    <row r="443" spans="2:45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</row>
    <row r="444" spans="2:45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</row>
    <row r="445" spans="2:4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</row>
    <row r="446" spans="2:45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</row>
    <row r="447" spans="2:45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</row>
    <row r="448" spans="2:45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</row>
    <row r="449" spans="2:45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</row>
    <row r="450" spans="2:45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</row>
    <row r="451" spans="2:45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</row>
    <row r="452" spans="2:45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</row>
    <row r="453" spans="2:45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</row>
    <row r="454" spans="2:45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</row>
    <row r="455" spans="2:4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</row>
    <row r="456" spans="2:45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</row>
    <row r="457" spans="2:45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</row>
    <row r="458" spans="2:45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</row>
    <row r="459" spans="2:45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</row>
    <row r="460" spans="2:45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</row>
    <row r="461" spans="2:45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</row>
    <row r="462" spans="2:45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</row>
    <row r="463" spans="2:45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</row>
    <row r="464" spans="2:45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</row>
    <row r="465" spans="2:4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</row>
    <row r="466" spans="2:45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</row>
    <row r="467" spans="2:45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</row>
    <row r="468" spans="2:45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</row>
    <row r="469" spans="2:45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</row>
    <row r="470" spans="2:45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</row>
    <row r="471" spans="2:45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</row>
    <row r="472" spans="2:45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</row>
    <row r="473" spans="2:45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</row>
    <row r="474" spans="2:45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</row>
    <row r="475" spans="2:4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</row>
    <row r="476" spans="2:45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</row>
    <row r="477" spans="2:45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</row>
    <row r="478" spans="2:45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</row>
    <row r="479" spans="2:45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</row>
    <row r="480" spans="2:45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</row>
    <row r="481" spans="2:45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</row>
    <row r="482" spans="2:45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</row>
    <row r="483" spans="2:45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</row>
    <row r="484" spans="2:45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</row>
    <row r="485" spans="2:4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</row>
    <row r="486" spans="2:45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</row>
    <row r="487" spans="2:45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</row>
    <row r="488" spans="2:45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</row>
    <row r="489" spans="2:45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</row>
    <row r="490" spans="2:45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</row>
    <row r="491" spans="2:45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</row>
    <row r="492" spans="2:45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</row>
    <row r="493" spans="2:45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</row>
    <row r="494" spans="2:45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</row>
    <row r="495" spans="2:4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</row>
    <row r="496" spans="2:45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</row>
    <row r="497" spans="2:45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</row>
    <row r="498" spans="2:4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</row>
    <row r="499" spans="2:4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</row>
    <row r="500" spans="2:45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</row>
    <row r="501" spans="2:45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</row>
    <row r="502" spans="2:45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</row>
    <row r="503" spans="2:45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</row>
    <row r="504" spans="2:45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</row>
    <row r="505" spans="2:45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</row>
    <row r="506" spans="2:45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</row>
    <row r="507" spans="2:45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</row>
    <row r="508" spans="2:45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</row>
    <row r="509" spans="2:4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</row>
    <row r="510" spans="2:45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</row>
    <row r="511" spans="2:45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</row>
    <row r="512" spans="2:45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</row>
    <row r="513" spans="2:45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</row>
    <row r="514" spans="2:45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</row>
    <row r="515" spans="2:45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</row>
    <row r="516" spans="2:45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</row>
    <row r="517" spans="2:45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</row>
    <row r="518" spans="2:45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</row>
    <row r="519" spans="2:45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</row>
    <row r="520" spans="2:45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</row>
    <row r="521" spans="2:45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</row>
    <row r="522" spans="2:45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</row>
    <row r="523" spans="2:45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</row>
    <row r="524" spans="2:45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</row>
    <row r="525" spans="2:45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</row>
    <row r="526" spans="2:45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</row>
    <row r="527" spans="2:45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</row>
    <row r="528" spans="2:45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</row>
    <row r="529" spans="2:45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</row>
    <row r="530" spans="2:45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</row>
    <row r="531" spans="2:45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</row>
    <row r="532" spans="2:45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</row>
    <row r="533" spans="2:45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</row>
    <row r="534" spans="2:45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</row>
    <row r="535" spans="2:45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</row>
    <row r="536" spans="2:45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</row>
    <row r="537" spans="2:45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</row>
    <row r="538" spans="2:45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</row>
    <row r="539" spans="2:45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</row>
    <row r="540" spans="2:45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</row>
    <row r="541" spans="2:45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</row>
    <row r="542" spans="2:45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</row>
    <row r="543" spans="2:45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</row>
    <row r="544" spans="2:45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</row>
    <row r="545" spans="2:45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</row>
    <row r="546" spans="2:45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</row>
    <row r="547" spans="2:45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</row>
    <row r="548" spans="2:45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</row>
    <row r="549" spans="2:45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</row>
    <row r="550" spans="2:45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</row>
    <row r="551" spans="2:45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</row>
    <row r="552" spans="2:45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</row>
    <row r="553" spans="2:45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</row>
    <row r="554" spans="2:45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</row>
    <row r="555" spans="2:45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</row>
    <row r="556" spans="2:45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</row>
    <row r="557" spans="2:45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Rayana Victoria de Macedo</cp:lastModifiedBy>
  <dcterms:created xsi:type="dcterms:W3CDTF">2024-12-19T13:13:10Z</dcterms:created>
  <dcterms:modified xsi:type="dcterms:W3CDTF">2025-12-18T19:34:52Z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